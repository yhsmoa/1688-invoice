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5.xml" ContentType="application/vnd.ms-excel.person+xml"/>
  <Override PartName="/xl/persons/person3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8ECA7B-03EA-4A19-B1B0-1F75FCC1CE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린이 치노" sheetId="11" r:id="rId1"/>
    <sheet name="Sheet1" sheetId="12" r:id="rId2"/>
  </sheets>
  <definedNames>
    <definedName name="_xlnm.Print_Area" localSheetId="0">'린이 치노'!$A$1:$N$48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1" l="1"/>
  <c r="B35" i="11" s="1"/>
  <c r="K22" i="11"/>
  <c r="E26" i="11" s="1"/>
</calcChain>
</file>

<file path=xl/sharedStrings.xml><?xml version="1.0" encoding="utf-8"?>
<sst xmlns="http://schemas.openxmlformats.org/spreadsheetml/2006/main" count="62" uniqueCount="59">
  <si>
    <t>Confirmed By</t>
    <phoneticPr fontId="2" type="noConversion"/>
  </si>
  <si>
    <t>&lt;---수취인성명</t>
    <phoneticPr fontId="3" type="noConversion"/>
  </si>
  <si>
    <t>&lt;---중계은행명</t>
    <phoneticPr fontId="3" type="noConversion"/>
  </si>
  <si>
    <t>&lt;---중계은행번호(스위프트코드)</t>
    <phoneticPr fontId="3" type="noConversion"/>
  </si>
  <si>
    <t>BENEFICIARY BANK</t>
    <phoneticPr fontId="2" type="noConversion"/>
  </si>
  <si>
    <t>BENEFICIARY</t>
    <phoneticPr fontId="2" type="noConversion"/>
  </si>
  <si>
    <t>&lt;---수취인계좌번호</t>
    <phoneticPr fontId="3" type="noConversion"/>
  </si>
  <si>
    <t xml:space="preserve">ADD : </t>
    <phoneticPr fontId="3" type="noConversion"/>
  </si>
  <si>
    <r>
      <t xml:space="preserve">&lt;--- </t>
    </r>
    <r>
      <rPr>
        <sz val="11"/>
        <rFont val="돋움"/>
        <family val="3"/>
        <charset val="129"/>
      </rPr>
      <t>수취인</t>
    </r>
    <r>
      <rPr>
        <sz val="11"/>
        <rFont val="돋움"/>
        <family val="2"/>
        <charset val="129"/>
      </rPr>
      <t xml:space="preserve"> </t>
    </r>
    <r>
      <rPr>
        <sz val="11"/>
        <rFont val="돋움"/>
        <family val="3"/>
        <charset val="129"/>
      </rPr>
      <t>주소</t>
    </r>
    <phoneticPr fontId="3" type="noConversion"/>
  </si>
  <si>
    <t xml:space="preserve"> </t>
    <phoneticPr fontId="2" type="noConversion"/>
  </si>
  <si>
    <r>
      <t>수취국가는</t>
    </r>
    <r>
      <rPr>
        <sz val="11"/>
        <rFont val="돋움"/>
        <family val="2"/>
        <charset val="129"/>
      </rPr>
      <t xml:space="preserve"> 중국</t>
    </r>
    <r>
      <rPr>
        <sz val="11"/>
        <rFont val="돋움"/>
        <family val="3"/>
        <charset val="129"/>
      </rPr>
      <t>입니다</t>
    </r>
    <phoneticPr fontId="2" type="noConversion"/>
  </si>
  <si>
    <t>We are pleased to issue proforma invoice as following terms and conditions.</t>
    <phoneticPr fontId="2" type="noConversion"/>
  </si>
  <si>
    <t>Model</t>
    <phoneticPr fontId="2" type="noConversion"/>
  </si>
  <si>
    <t>Item description</t>
    <phoneticPr fontId="2" type="noConversion"/>
  </si>
  <si>
    <t>Quantity</t>
    <phoneticPr fontId="2" type="noConversion"/>
  </si>
  <si>
    <t>U/Price</t>
    <phoneticPr fontId="2" type="noConversion"/>
  </si>
  <si>
    <t>Amount</t>
    <phoneticPr fontId="2" type="noConversion"/>
  </si>
  <si>
    <t>Rmks</t>
    <phoneticPr fontId="2" type="noConversion"/>
  </si>
  <si>
    <t>TOTAL</t>
    <phoneticPr fontId="3" type="noConversion"/>
  </si>
  <si>
    <t xml:space="preserve">INTERMEDIARY BANK </t>
    <phoneticPr fontId="2" type="noConversion"/>
  </si>
  <si>
    <t xml:space="preserve">FOB KOREA </t>
    <phoneticPr fontId="2" type="noConversion"/>
  </si>
  <si>
    <r>
      <t xml:space="preserve">1) </t>
    </r>
    <r>
      <rPr>
        <sz val="10"/>
        <color indexed="10"/>
        <rFont val="맑은 고딕"/>
        <family val="3"/>
        <charset val="129"/>
      </rPr>
      <t>달러 송금하셔야 합니다. 중국돈 RMB 송금하시면 안됩니다.</t>
    </r>
    <phoneticPr fontId="3" type="noConversion"/>
  </si>
  <si>
    <r>
      <t xml:space="preserve">   그럴경우 </t>
    </r>
    <r>
      <rPr>
        <sz val="10"/>
        <color theme="4"/>
        <rFont val="맑은 고딕"/>
        <family val="3"/>
        <charset val="129"/>
        <scheme val="minor"/>
      </rPr>
      <t>주소란</t>
    </r>
    <r>
      <rPr>
        <sz val="10"/>
        <color rgb="FFFF0000"/>
        <rFont val="맑은 고딕"/>
        <family val="3"/>
        <charset val="129"/>
        <scheme val="minor"/>
      </rPr>
      <t>에 못적은 나머지 적으시고 그다음부터 주소 적으시면 됩니다.(co.,LTD까지 적으셔야 들어옵니다.)</t>
    </r>
    <phoneticPr fontId="2" type="noConversion"/>
  </si>
  <si>
    <r>
      <t xml:space="preserve">&lt;---  </t>
    </r>
    <r>
      <rPr>
        <sz val="11"/>
        <rFont val="돋움"/>
        <family val="3"/>
        <charset val="129"/>
      </rPr>
      <t>인보이스</t>
    </r>
    <r>
      <rPr>
        <sz val="11"/>
        <rFont val="Century Gothic"/>
        <family val="2"/>
      </rPr>
      <t xml:space="preserve"> </t>
    </r>
    <r>
      <rPr>
        <sz val="11"/>
        <rFont val="돋움"/>
        <family val="3"/>
        <charset val="129"/>
      </rPr>
      <t>번호</t>
    </r>
    <phoneticPr fontId="2" type="noConversion"/>
  </si>
  <si>
    <r>
      <t xml:space="preserve">&lt;---  </t>
    </r>
    <r>
      <rPr>
        <sz val="11"/>
        <rFont val="돋움"/>
        <family val="3"/>
        <charset val="129"/>
      </rPr>
      <t>인보이스</t>
    </r>
    <r>
      <rPr>
        <sz val="11"/>
        <rFont val="Century Gothic"/>
        <family val="2"/>
      </rPr>
      <t xml:space="preserve"> </t>
    </r>
    <r>
      <rPr>
        <sz val="11"/>
        <rFont val="돋움"/>
        <family val="3"/>
        <charset val="129"/>
      </rPr>
      <t>작성일</t>
    </r>
    <phoneticPr fontId="2" type="noConversion"/>
  </si>
  <si>
    <t xml:space="preserve">SHIPPER / EXPORTER </t>
    <phoneticPr fontId="2" type="noConversion"/>
  </si>
  <si>
    <t>BUYER / IMPORTER</t>
    <phoneticPr fontId="2" type="noConversion"/>
  </si>
  <si>
    <t>SHIPPING COUNTRY : CHINA</t>
    <phoneticPr fontId="2" type="noConversion"/>
  </si>
  <si>
    <t>DESTINATION COUNTRY : KOREA</t>
    <phoneticPr fontId="2" type="noConversion"/>
  </si>
  <si>
    <r>
      <t xml:space="preserve">&lt;--- </t>
    </r>
    <r>
      <rPr>
        <sz val="11"/>
        <rFont val="돋움"/>
        <family val="3"/>
        <charset val="129"/>
      </rPr>
      <t>품명</t>
    </r>
    <r>
      <rPr>
        <sz val="11"/>
        <rFont val="Century Gothic"/>
        <family val="2"/>
      </rPr>
      <t xml:space="preserve">, </t>
    </r>
    <r>
      <rPr>
        <sz val="11"/>
        <rFont val="돋움"/>
        <family val="3"/>
        <charset val="129"/>
      </rPr>
      <t>수량</t>
    </r>
    <r>
      <rPr>
        <sz val="11"/>
        <rFont val="Century Gothic"/>
        <family val="2"/>
      </rPr>
      <t xml:space="preserve">, </t>
    </r>
    <r>
      <rPr>
        <sz val="11"/>
        <rFont val="돋움"/>
        <family val="3"/>
        <charset val="129"/>
      </rPr>
      <t>단가</t>
    </r>
    <r>
      <rPr>
        <sz val="11"/>
        <rFont val="Century Gothic"/>
        <family val="2"/>
      </rPr>
      <t xml:space="preserve">, </t>
    </r>
    <r>
      <rPr>
        <sz val="11"/>
        <rFont val="돋움"/>
        <family val="3"/>
        <charset val="129"/>
      </rPr>
      <t>총</t>
    </r>
    <r>
      <rPr>
        <sz val="11"/>
        <rFont val="Century Gothic"/>
        <family val="2"/>
      </rPr>
      <t xml:space="preserve"> </t>
    </r>
    <r>
      <rPr>
        <sz val="11"/>
        <rFont val="돋움"/>
        <family val="3"/>
        <charset val="129"/>
      </rPr>
      <t>금액</t>
    </r>
    <r>
      <rPr>
        <sz val="11"/>
        <rFont val="Century Gothic"/>
        <family val="2"/>
      </rPr>
      <t xml:space="preserve"> </t>
    </r>
    <phoneticPr fontId="2" type="noConversion"/>
  </si>
  <si>
    <t>Port of lading</t>
    <phoneticPr fontId="2" type="noConversion"/>
  </si>
  <si>
    <t>Port of discharge</t>
    <phoneticPr fontId="2" type="noConversion"/>
  </si>
  <si>
    <t>the date of issue</t>
    <phoneticPr fontId="2" type="noConversion"/>
  </si>
  <si>
    <r>
      <t>TERMS OF PAYMENT :</t>
    </r>
    <r>
      <rPr>
        <sz val="11"/>
        <color theme="0"/>
        <rFont val="돋움"/>
        <family val="2"/>
        <charset val="129"/>
      </rPr>
      <t xml:space="preserve"> </t>
    </r>
    <phoneticPr fontId="2" type="noConversion"/>
  </si>
  <si>
    <t xml:space="preserve">3) 수취인 성명은 가끔 은행이 입력란이 부족해서 못 적어 보내는 경우가 있는데 </t>
    <phoneticPr fontId="2" type="noConversion"/>
  </si>
  <si>
    <r>
      <t xml:space="preserve">2) 송금인명은 본인성함을 영문으로 적지말고 </t>
    </r>
    <r>
      <rPr>
        <sz val="10"/>
        <color theme="4"/>
        <rFont val="맑은 고딕"/>
        <family val="3"/>
        <charset val="129"/>
        <scheme val="minor"/>
      </rPr>
      <t>회사명</t>
    </r>
    <r>
      <rPr>
        <sz val="10"/>
        <color rgb="FFFF0000"/>
        <rFont val="맑은 고딕"/>
        <family val="3"/>
        <charset val="129"/>
        <scheme val="minor"/>
      </rPr>
      <t>을 영문명으로 적어주십시요</t>
    </r>
    <phoneticPr fontId="2" type="noConversion"/>
  </si>
  <si>
    <r>
      <t xml:space="preserve">&lt;--- </t>
    </r>
    <r>
      <rPr>
        <sz val="11"/>
        <rFont val="돋움"/>
        <family val="3"/>
        <charset val="129"/>
      </rPr>
      <t>송금</t>
    </r>
    <r>
      <rPr>
        <sz val="11"/>
        <rFont val="Century Gothic"/>
        <family val="2"/>
      </rPr>
      <t xml:space="preserve"> </t>
    </r>
    <r>
      <rPr>
        <sz val="11"/>
        <rFont val="돋움"/>
        <family val="3"/>
        <charset val="129"/>
      </rPr>
      <t>회사</t>
    </r>
    <r>
      <rPr>
        <sz val="11"/>
        <rFont val="Century Gothic"/>
        <family val="2"/>
      </rPr>
      <t xml:space="preserve"> </t>
    </r>
    <r>
      <rPr>
        <sz val="11"/>
        <rFont val="돋움"/>
        <family val="3"/>
        <charset val="129"/>
      </rPr>
      <t>영문이름</t>
    </r>
    <phoneticPr fontId="2" type="noConversion"/>
  </si>
  <si>
    <r>
      <t xml:space="preserve">&lt;--- </t>
    </r>
    <r>
      <rPr>
        <sz val="11"/>
        <rFont val="돋움"/>
        <family val="3"/>
        <charset val="129"/>
      </rPr>
      <t>송금회사</t>
    </r>
    <r>
      <rPr>
        <sz val="11"/>
        <rFont val="Century Gothic"/>
        <family val="2"/>
      </rPr>
      <t xml:space="preserve"> </t>
    </r>
    <r>
      <rPr>
        <sz val="11"/>
        <rFont val="돋움"/>
        <family val="3"/>
        <charset val="129"/>
      </rPr>
      <t>영문주소</t>
    </r>
    <phoneticPr fontId="2" type="noConversion"/>
  </si>
  <si>
    <t>Weihai China</t>
    <phoneticPr fontId="2" type="noConversion"/>
  </si>
  <si>
    <t>Incheon Korea</t>
    <phoneticPr fontId="2" type="noConversion"/>
  </si>
  <si>
    <t>BANK OF AMERICA , NEW YORK BRANCH</t>
    <phoneticPr fontId="3" type="noConversion"/>
  </si>
  <si>
    <r>
      <t xml:space="preserve">SWIFT CODE NO : </t>
    </r>
    <r>
      <rPr>
        <b/>
        <sz val="11"/>
        <rFont val="Century Gothic"/>
        <family val="2"/>
      </rPr>
      <t>PCBCCNBJSDL</t>
    </r>
    <phoneticPr fontId="3" type="noConversion"/>
  </si>
  <si>
    <t>ADD : NO.58-1,YINQUESHAN ROAD,LINYI CITY,SHANDONG,CHINA</t>
    <phoneticPr fontId="3" type="noConversion"/>
  </si>
  <si>
    <t>CHINA CONSTRUCTION BANK, LINYI BRANCH</t>
    <phoneticPr fontId="2" type="noConversion"/>
  </si>
  <si>
    <t>SWIFT CODE NO : BOFAUS3N</t>
    <phoneticPr fontId="3" type="noConversion"/>
  </si>
  <si>
    <r>
      <t>&lt;--</t>
    </r>
    <r>
      <rPr>
        <sz val="11"/>
        <rFont val="돋움"/>
        <family val="3"/>
        <charset val="129"/>
      </rPr>
      <t xml:space="preserve">-수취 </t>
    </r>
    <r>
      <rPr>
        <sz val="11"/>
        <rFont val="돋움"/>
        <family val="3"/>
        <charset val="129"/>
      </rPr>
      <t>은행명</t>
    </r>
    <phoneticPr fontId="3" type="noConversion"/>
  </si>
  <si>
    <r>
      <t>&lt;---수취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은행번호(스위프트코드)</t>
    </r>
    <phoneticPr fontId="3" type="noConversion"/>
  </si>
  <si>
    <r>
      <t>&lt;---수취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은행주소</t>
    </r>
    <phoneticPr fontId="3" type="noConversion"/>
  </si>
  <si>
    <t>TOWN, LINGANG ECONOMIC DEVELOPMENT ZONE, LINYI CITY,</t>
    <phoneticPr fontId="2" type="noConversion"/>
  </si>
  <si>
    <t>SHANDONG PROVINCE , CHINA</t>
    <phoneticPr fontId="2" type="noConversion"/>
  </si>
  <si>
    <t>LINYI JIEYUN TONG IMPORT AND EXPORT CO., LTD</t>
    <phoneticPr fontId="2" type="noConversion"/>
  </si>
  <si>
    <t>531-2 ADMINISTRATIVE SERVICE CENTER, NO.1 RENMIN ROAD, PINGSHANG</t>
    <phoneticPr fontId="2" type="noConversion"/>
  </si>
  <si>
    <r>
      <rPr>
        <sz val="10"/>
        <rFont val="Century Gothic"/>
        <family val="2"/>
      </rPr>
      <t>A/C NO</t>
    </r>
    <r>
      <rPr>
        <sz val="11"/>
        <rFont val="Century Gothic"/>
        <family val="2"/>
      </rPr>
      <t xml:space="preserve"> : </t>
    </r>
    <r>
      <rPr>
        <b/>
        <sz val="11"/>
        <rFont val="Century Gothic"/>
        <family val="2"/>
      </rPr>
      <t>3705 0182 6301 0000 2692</t>
    </r>
    <phoneticPr fontId="3" type="noConversion"/>
  </si>
  <si>
    <r>
      <t xml:space="preserve">NAME : </t>
    </r>
    <r>
      <rPr>
        <b/>
        <sz val="12"/>
        <rFont val="Century Gothic"/>
        <family val="2"/>
      </rPr>
      <t>LINYI JIEYUN TONG IMPORT AND EXPORT CO., LTD</t>
    </r>
    <phoneticPr fontId="3" type="noConversion"/>
  </si>
  <si>
    <t>SHANDONG PROVINCE,CHINA                 TEL : 15988524818</t>
    <phoneticPr fontId="2" type="noConversion"/>
  </si>
  <si>
    <t>Advanced remittance</t>
    <phoneticPr fontId="2" type="noConversion"/>
  </si>
  <si>
    <t>CLOTHING</t>
    <phoneticPr fontId="2" type="noConversion"/>
  </si>
  <si>
    <r>
      <rPr>
        <b/>
        <sz val="28"/>
        <color theme="4"/>
        <rFont val="Segoe UI Symbol"/>
        <family val="2"/>
      </rPr>
      <t>⭐</t>
    </r>
    <r>
      <rPr>
        <b/>
        <sz val="28"/>
        <color theme="4"/>
        <rFont val="Century Gothic"/>
        <family val="2"/>
      </rPr>
      <t>PROFORMA INVOICE</t>
    </r>
    <r>
      <rPr>
        <b/>
        <sz val="28"/>
        <color theme="4"/>
        <rFont val="Segoe UI Symbol"/>
        <family val="2"/>
      </rPr>
      <t>⭐</t>
    </r>
    <phoneticPr fontId="2" type="noConversion"/>
  </si>
  <si>
    <t>NO : JYT20261006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</si>
</sst>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\-#,##0_ ;_ * &quot;-&quot;_ ;_ @_ "/>
    <numFmt numFmtId="177" formatCode="_-&quot;US$&quot;* #,##0.00_ ;_-&quot;US$&quot;* \-#,##0.00\ ;_-&quot;US$&quot;* &quot;-&quot;??_ ;_-@_ "/>
    <numFmt numFmtId="178" formatCode="_-&quot;US$&quot;* #,##0.000_ ;_-&quot;US$&quot;* \-#,##0.000\ ;_-&quot;US$&quot;* &quot;-&quot;???_ ;_-@_ "/>
  </numFmts>
  <fonts count="33">
    <font>
      <sz val="11"/>
      <name val="돋움"/>
      <family val="3"/>
      <charset val="129"/>
    </font>
    <font>
      <sz val="11"/>
      <name val="Century Gothic"/>
      <family val="2"/>
    </font>
    <font>
      <sz val="8"/>
      <name val="돋움"/>
      <family val="3"/>
      <charset val="129"/>
    </font>
    <font>
      <sz val="9"/>
      <name val="宋体"/>
      <family val="3"/>
      <charset val="134"/>
    </font>
    <font>
      <b/>
      <sz val="11"/>
      <name val="Century Gothic"/>
      <family val="2"/>
    </font>
    <font>
      <b/>
      <u/>
      <sz val="11"/>
      <name val="Century Gothic"/>
      <family val="2"/>
    </font>
    <font>
      <b/>
      <sz val="11"/>
      <color rgb="FFFF0000"/>
      <name val="Century Gothic"/>
      <family val="2"/>
    </font>
    <font>
      <sz val="11"/>
      <color rgb="FFFF0000"/>
      <name val="돋움"/>
      <family val="3"/>
      <charset val="129"/>
    </font>
    <font>
      <sz val="11"/>
      <color rgb="FFFF0000"/>
      <name val="Century Gothic"/>
      <family val="2"/>
    </font>
    <font>
      <sz val="11"/>
      <color indexed="10"/>
      <name val="Century Gothic"/>
      <family val="2"/>
    </font>
    <font>
      <sz val="10"/>
      <name val="맑은 고딕"/>
      <family val="3"/>
      <charset val="129"/>
      <scheme val="minor"/>
    </font>
    <font>
      <b/>
      <sz val="11"/>
      <color rgb="FFFF0000"/>
      <name val="돋움"/>
      <family val="3"/>
      <charset val="129"/>
    </font>
    <font>
      <b/>
      <sz val="11"/>
      <name val="돋움"/>
      <family val="3"/>
      <charset val="129"/>
    </font>
    <font>
      <b/>
      <u/>
      <sz val="12"/>
      <name val="Century Gothic"/>
      <family val="2"/>
    </font>
    <font>
      <sz val="11"/>
      <color indexed="8"/>
      <name val="맑은 고딕"/>
      <family val="3"/>
      <charset val="129"/>
    </font>
    <font>
      <b/>
      <sz val="20"/>
      <name val="Century Gothic"/>
      <family val="2"/>
    </font>
    <font>
      <b/>
      <sz val="22"/>
      <name val="Century Gothic"/>
      <family val="2"/>
    </font>
    <font>
      <sz val="10"/>
      <name val="Century Gothic"/>
      <family val="2"/>
    </font>
    <font>
      <sz val="11"/>
      <name val="돋움"/>
      <family val="3"/>
      <charset val="129"/>
    </font>
    <font>
      <sz val="11"/>
      <name val="돋움"/>
      <family val="2"/>
      <charset val="129"/>
    </font>
    <font>
      <sz val="10"/>
      <color rgb="FFFF0000"/>
      <name val="맑은 고딕"/>
      <family val="3"/>
      <charset val="129"/>
      <scheme val="minor"/>
    </font>
    <font>
      <sz val="10"/>
      <color indexed="10"/>
      <name val="맑은 고딕"/>
      <family val="3"/>
      <charset val="129"/>
    </font>
    <font>
      <sz val="10"/>
      <color theme="4"/>
      <name val="맑은 고딕"/>
      <family val="3"/>
      <charset val="129"/>
      <scheme val="minor"/>
    </font>
    <font>
      <b/>
      <u/>
      <sz val="28"/>
      <name val="Century Gothic"/>
      <family val="2"/>
    </font>
    <font>
      <b/>
      <sz val="26"/>
      <name val="Century Gothic"/>
      <family val="2"/>
    </font>
    <font>
      <sz val="8"/>
      <name val="Century Gothic"/>
      <family val="2"/>
    </font>
    <font>
      <b/>
      <sz val="10"/>
      <name val="돋움"/>
      <family val="3"/>
      <charset val="129"/>
    </font>
    <font>
      <b/>
      <sz val="10"/>
      <name val="Century Gothic"/>
      <family val="2"/>
    </font>
    <font>
      <sz val="11"/>
      <color theme="0"/>
      <name val="돋움"/>
      <family val="2"/>
      <charset val="129"/>
    </font>
    <font>
      <b/>
      <sz val="12"/>
      <name val="Century Gothic"/>
      <family val="2"/>
    </font>
    <font>
      <sz val="9"/>
      <name val="Century Gothic"/>
      <family val="2"/>
    </font>
    <font>
      <b/>
      <sz val="28"/>
      <color theme="4"/>
      <name val="Segoe UI Symbol"/>
      <family val="2"/>
    </font>
    <font>
      <b/>
      <sz val="28"/>
      <color theme="4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176" fontId="14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>
      <alignment vertical="center"/>
    </xf>
    <xf numFmtId="15" fontId="1" fillId="0" borderId="0" xfId="0" quotePrefix="1" applyNumberFormat="1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1" fillId="2" borderId="0" xfId="0" quotePrefix="1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2" borderId="0" xfId="0" applyFont="1" applyFill="1">
      <alignment vertical="center"/>
    </xf>
    <xf numFmtId="0" fontId="8" fillId="0" borderId="0" xfId="0" applyFont="1">
      <alignment vertical="center"/>
    </xf>
    <xf numFmtId="0" fontId="10" fillId="3" borderId="0" xfId="0" applyFont="1" applyFill="1">
      <alignment vertical="center"/>
    </xf>
    <xf numFmtId="0" fontId="10" fillId="0" borderId="0" xfId="0" applyFont="1">
      <alignment vertical="center"/>
    </xf>
    <xf numFmtId="0" fontId="18" fillId="2" borderId="0" xfId="0" quotePrefix="1" applyFont="1" applyFill="1">
      <alignment vertical="center"/>
    </xf>
    <xf numFmtId="0" fontId="17" fillId="0" borderId="0" xfId="0" applyFont="1">
      <alignment vertical="center"/>
    </xf>
    <xf numFmtId="0" fontId="20" fillId="0" borderId="0" xfId="0" applyFont="1">
      <alignment vertical="center"/>
    </xf>
    <xf numFmtId="0" fontId="23" fillId="0" borderId="0" xfId="0" applyFont="1" applyAlignment="1">
      <alignment horizontal="centerContinuous" vertical="center"/>
    </xf>
    <xf numFmtId="0" fontId="24" fillId="0" borderId="0" xfId="0" applyFont="1" applyAlignment="1">
      <alignment horizontal="centerContinuous" vertical="center"/>
    </xf>
    <xf numFmtId="0" fontId="25" fillId="0" borderId="0" xfId="0" applyFont="1">
      <alignment vertical="center"/>
    </xf>
    <xf numFmtId="0" fontId="4" fillId="0" borderId="26" xfId="0" applyFont="1" applyBorder="1">
      <alignment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15" fillId="0" borderId="27" xfId="0" applyFont="1" applyBorder="1">
      <alignment vertical="center"/>
    </xf>
    <xf numFmtId="0" fontId="25" fillId="0" borderId="26" xfId="0" applyFont="1" applyBorder="1">
      <alignment vertical="center"/>
    </xf>
    <xf numFmtId="0" fontId="17" fillId="0" borderId="27" xfId="0" applyFont="1" applyBorder="1">
      <alignment vertical="center"/>
    </xf>
    <xf numFmtId="0" fontId="25" fillId="0" borderId="28" xfId="0" applyFont="1" applyBorder="1">
      <alignment vertical="center"/>
    </xf>
    <xf numFmtId="0" fontId="17" fillId="0" borderId="7" xfId="0" applyFont="1" applyBorder="1">
      <alignment vertical="center"/>
    </xf>
    <xf numFmtId="0" fontId="17" fillId="0" borderId="29" xfId="0" applyFont="1" applyBorder="1">
      <alignment vertical="center"/>
    </xf>
    <xf numFmtId="0" fontId="13" fillId="0" borderId="24" xfId="0" applyFont="1" applyBorder="1">
      <alignment vertical="center"/>
    </xf>
    <xf numFmtId="0" fontId="5" fillId="0" borderId="21" xfId="0" applyFont="1" applyBorder="1">
      <alignment vertical="center"/>
    </xf>
    <xf numFmtId="0" fontId="1" fillId="0" borderId="21" xfId="0" applyFont="1" applyBorder="1">
      <alignment vertical="center"/>
    </xf>
    <xf numFmtId="15" fontId="1" fillId="0" borderId="21" xfId="0" quotePrefix="1" applyNumberFormat="1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177" fontId="26" fillId="0" borderId="0" xfId="0" quotePrefix="1" applyNumberFormat="1" applyFont="1">
      <alignment vertical="center"/>
    </xf>
    <xf numFmtId="0" fontId="11" fillId="0" borderId="0" xfId="0" applyFont="1">
      <alignment vertical="center"/>
    </xf>
    <xf numFmtId="0" fontId="1" fillId="0" borderId="27" xfId="0" applyFont="1" applyBorder="1">
      <alignment vertical="center"/>
    </xf>
    <xf numFmtId="0" fontId="13" fillId="0" borderId="26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7" xfId="0" applyFont="1" applyBorder="1">
      <alignment vertical="center"/>
    </xf>
    <xf numFmtId="15" fontId="1" fillId="0" borderId="7" xfId="0" quotePrefix="1" applyNumberFormat="1" applyFont="1" applyBorder="1">
      <alignment vertical="center"/>
    </xf>
    <xf numFmtId="0" fontId="1" fillId="0" borderId="29" xfId="0" applyFont="1" applyBorder="1">
      <alignment vertical="center"/>
    </xf>
    <xf numFmtId="0" fontId="5" fillId="0" borderId="28" xfId="0" applyFont="1" applyBorder="1">
      <alignment vertical="center"/>
    </xf>
    <xf numFmtId="0" fontId="9" fillId="0" borderId="7" xfId="0" applyFont="1" applyBorder="1">
      <alignment vertical="center"/>
    </xf>
    <xf numFmtId="0" fontId="17" fillId="0" borderId="26" xfId="0" applyFont="1" applyBorder="1">
      <alignment vertical="center"/>
    </xf>
    <xf numFmtId="0" fontId="17" fillId="0" borderId="28" xfId="0" applyFont="1" applyBorder="1">
      <alignment vertical="center"/>
    </xf>
    <xf numFmtId="0" fontId="0" fillId="2" borderId="0" xfId="0" quotePrefix="1" applyFill="1">
      <alignment vertical="center"/>
    </xf>
    <xf numFmtId="0" fontId="30" fillId="0" borderId="0" xfId="0" applyFont="1">
      <alignment vertical="center"/>
    </xf>
    <xf numFmtId="0" fontId="30" fillId="0" borderId="7" xfId="0" applyFont="1" applyBorder="1">
      <alignment vertical="center"/>
    </xf>
    <xf numFmtId="0" fontId="4" fillId="5" borderId="24" xfId="0" applyFont="1" applyFill="1" applyBorder="1">
      <alignment vertical="center"/>
    </xf>
    <xf numFmtId="0" fontId="4" fillId="5" borderId="21" xfId="0" applyFont="1" applyFill="1" applyBorder="1">
      <alignment vertical="center"/>
    </xf>
    <xf numFmtId="0" fontId="4" fillId="5" borderId="25" xfId="0" applyFont="1" applyFill="1" applyBorder="1">
      <alignment vertical="center"/>
    </xf>
    <xf numFmtId="0" fontId="32" fillId="0" borderId="0" xfId="0" applyFont="1" applyAlignment="1">
      <alignment horizontal="centerContinuous" vertical="center"/>
    </xf>
    <xf numFmtId="15" fontId="1" fillId="0" borderId="0" xfId="0" applyNumberFormat="1" applyFont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12" fillId="0" borderId="8" xfId="1" applyFont="1" applyBorder="1" applyAlignment="1">
      <alignment horizontal="center" vertical="center"/>
    </xf>
    <xf numFmtId="176" fontId="4" fillId="0" borderId="9" xfId="1" applyFont="1" applyBorder="1" applyAlignment="1">
      <alignment horizontal="center" vertical="center"/>
    </xf>
    <xf numFmtId="178" fontId="12" fillId="0" borderId="8" xfId="0" applyNumberFormat="1" applyFont="1" applyBorder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6" fontId="12" fillId="0" borderId="13" xfId="1" applyFont="1" applyBorder="1" applyAlignment="1">
      <alignment horizontal="center" vertical="center"/>
    </xf>
    <xf numFmtId="176" fontId="4" fillId="0" borderId="14" xfId="1" applyFont="1" applyBorder="1" applyAlignment="1">
      <alignment horizontal="center" vertical="center"/>
    </xf>
    <xf numFmtId="178" fontId="12" fillId="0" borderId="13" xfId="0" applyNumberFormat="1" applyFont="1" applyBorder="1" applyAlignment="1">
      <alignment horizontal="center" vertical="center"/>
    </xf>
    <xf numFmtId="178" fontId="4" fillId="0" borderId="14" xfId="0" applyNumberFormat="1" applyFont="1" applyBorder="1" applyAlignment="1">
      <alignment horizontal="center" vertical="center"/>
    </xf>
    <xf numFmtId="177" fontId="12" fillId="0" borderId="13" xfId="0" applyNumberFormat="1" applyFont="1" applyBorder="1" applyAlignment="1">
      <alignment horizontal="center" vertical="center"/>
    </xf>
    <xf numFmtId="177" fontId="4" fillId="0" borderId="14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76" fontId="12" fillId="0" borderId="6" xfId="1" applyFont="1" applyBorder="1" applyAlignment="1">
      <alignment horizontal="center" vertical="center"/>
    </xf>
    <xf numFmtId="176" fontId="4" fillId="0" borderId="4" xfId="1" applyFont="1" applyBorder="1" applyAlignment="1">
      <alignment horizontal="center" vertical="center"/>
    </xf>
    <xf numFmtId="178" fontId="12" fillId="0" borderId="6" xfId="0" applyNumberFormat="1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177" fontId="12" fillId="0" borderId="6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6" fontId="12" fillId="0" borderId="6" xfId="1" applyFont="1" applyFill="1" applyBorder="1" applyAlignment="1">
      <alignment horizontal="center" vertical="center"/>
    </xf>
    <xf numFmtId="176" fontId="4" fillId="0" borderId="4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13" Type="http://schemas.microsoft.com/office/2017/10/relationships/person" Target="persons/person5.xml"/><Relationship Id="rId3" Type="http://schemas.openxmlformats.org/officeDocument/2006/relationships/theme" Target="theme/theme1.xml"/><Relationship Id="rId12" Type="http://schemas.microsoft.com/office/2017/10/relationships/person" Target="persons/pers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2.xml"/><Relationship Id="rId5" Type="http://schemas.openxmlformats.org/officeDocument/2006/relationships/sharedStrings" Target="sharedStrings.xml"/><Relationship Id="rId10" Type="http://schemas.microsoft.com/office/2017/10/relationships/person" Target="persons/person1.xml"/><Relationship Id="rId4" Type="http://schemas.openxmlformats.org/officeDocument/2006/relationships/styles" Target="styles.xml"/><Relationship Id="rId14" Type="http://schemas.microsoft.com/office/2017/10/relationships/person" Target="persons/person.xml"/><Relationship Id="rId9" Type="http://schemas.microsoft.com/office/2017/10/relationships/person" Target="persons/person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Relationship Id="rId5" Type="http://schemas.openxmlformats.org/officeDocument/2006/relationships/image" Target="../media/image5.jp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39</xdr:row>
      <xdr:rowOff>104775</xdr:rowOff>
    </xdr:from>
    <xdr:to>
      <xdr:col>12</xdr:col>
      <xdr:colOff>632572</xdr:colOff>
      <xdr:row>47</xdr:row>
      <xdr:rowOff>47625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C5353AA-417C-A719-2114-ED7235A19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010525"/>
          <a:ext cx="3137647" cy="160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4</xdr:col>
      <xdr:colOff>536019</xdr:colOff>
      <xdr:row>12</xdr:row>
      <xdr:rowOff>59288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B031E4-85CD-4166-A113-DEE3F59CC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857250"/>
          <a:ext cx="2822019" cy="125943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173455</xdr:colOff>
      <xdr:row>12</xdr:row>
      <xdr:rowOff>9845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BB94A17-05DF-42FE-8C4C-E603DC4A1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30607">
          <a:off x="3810000" y="1200150"/>
          <a:ext cx="935455" cy="867095"/>
        </a:xfrm>
        <a:prstGeom prst="rect">
          <a:avLst/>
        </a:prstGeom>
      </xdr:spPr>
    </xdr:pic>
    <xdr:clientData/>
  </xdr:twoCellAnchor>
  <xdr:twoCellAnchor editAs="oneCell">
    <xdr:from>
      <xdr:col>3</xdr:col>
      <xdr:colOff>42245</xdr:colOff>
      <xdr:row>18</xdr:row>
      <xdr:rowOff>127555</xdr:rowOff>
    </xdr:from>
    <xdr:to>
      <xdr:col>6</xdr:col>
      <xdr:colOff>584546</xdr:colOff>
      <xdr:row>30</xdr:row>
      <xdr:rowOff>32825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0734CAB-DB50-4C4C-1E21-9D757A171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7F5FE"/>
            </a:clrFrom>
            <a:clrTo>
              <a:srgbClr val="F7F5FE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97302">
          <a:off x="2328245" y="3213655"/>
          <a:ext cx="2828301" cy="196267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18</xdr:row>
      <xdr:rowOff>133350</xdr:rowOff>
    </xdr:from>
    <xdr:to>
      <xdr:col>11</xdr:col>
      <xdr:colOff>761011</xdr:colOff>
      <xdr:row>30</xdr:row>
      <xdr:rowOff>95250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DD410AB-F6AB-CFD0-8178-37EC4887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3219450"/>
          <a:ext cx="2046886" cy="20193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진홍색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9E0E-34B7-4256-866F-C0252703291F}">
  <sheetPr>
    <tabColor rgb="FFFFFF00"/>
  </sheetPr>
  <dimension ref="A2:Q52"/>
  <sheetViews>
    <sheetView showGridLines="0" tabSelected="1" view="pageBreakPreview" zoomScale="90" zoomScaleNormal="90" zoomScaleSheetLayoutView="90" workbookViewId="0">
      <selection activeCell="K5" sqref="K5:N5"/>
    </sheetView>
  </sheetViews>
  <sheetFormatPr defaultColWidth="8.88671875" defaultRowHeight="16.5"/>
  <cols>
    <col min="1" max="1" width="1.33203125" style="1" customWidth="1"/>
    <col min="2" max="2" width="6.109375" style="1" customWidth="1"/>
    <col min="3" max="4" width="2.6640625" style="1" customWidth="1"/>
    <col min="5" max="5" width="13.33203125" style="1" customWidth="1"/>
    <col min="6" max="6" width="4.5546875" style="1" customWidth="1"/>
    <col min="7" max="7" width="9.88671875" style="1" customWidth="1"/>
    <col min="8" max="8" width="6.77734375" style="1" customWidth="1"/>
    <col min="9" max="11" width="7.88671875" style="1" customWidth="1"/>
    <col min="12" max="12" width="9.33203125" style="1" customWidth="1"/>
    <col min="13" max="14" width="7.88671875" style="1" customWidth="1"/>
    <col min="15" max="17" width="8.88671875" style="1"/>
    <col min="18" max="18" width="11.33203125" style="1" bestFit="1" customWidth="1"/>
    <col min="19" max="16384" width="8.88671875" style="1"/>
  </cols>
  <sheetData>
    <row r="2" spans="1:15" ht="40.5">
      <c r="A2" s="51" t="s">
        <v>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5" ht="15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5" ht="13.5" customHeight="1">
      <c r="K4" s="94" t="s">
        <v>58</v>
      </c>
      <c r="L4" s="94"/>
      <c r="M4" s="94"/>
      <c r="N4" s="94"/>
      <c r="O4" s="1" t="s">
        <v>23</v>
      </c>
    </row>
    <row r="5" spans="1:15" ht="12.75" customHeight="1" thickBot="1">
      <c r="I5" s="6"/>
      <c r="K5" s="95">
        <f ca="1">TODAY()</f>
        <v>46301</v>
      </c>
      <c r="L5" s="95"/>
      <c r="M5" s="95"/>
      <c r="N5" s="95"/>
      <c r="O5" s="1" t="s">
        <v>24</v>
      </c>
    </row>
    <row r="6" spans="1:15">
      <c r="A6" s="48" t="s">
        <v>25</v>
      </c>
      <c r="B6" s="49"/>
      <c r="C6" s="49"/>
      <c r="D6" s="49"/>
      <c r="E6" s="49"/>
      <c r="F6" s="49"/>
      <c r="G6" s="49"/>
      <c r="H6" s="49"/>
      <c r="I6" s="48" t="s">
        <v>26</v>
      </c>
      <c r="J6" s="49"/>
      <c r="K6" s="49"/>
      <c r="L6" s="49"/>
      <c r="M6" s="49"/>
      <c r="N6" s="50"/>
    </row>
    <row r="7" spans="1:15" ht="24" customHeight="1">
      <c r="A7" s="18" t="s">
        <v>50</v>
      </c>
      <c r="B7" s="19"/>
      <c r="C7" s="20"/>
      <c r="D7" s="20"/>
      <c r="E7" s="20"/>
      <c r="F7" s="20"/>
      <c r="G7" s="20"/>
      <c r="H7" s="20"/>
      <c r="I7" s="18"/>
      <c r="J7" s="19"/>
      <c r="K7" s="20"/>
      <c r="L7" s="20"/>
      <c r="M7" s="20"/>
      <c r="N7" s="21"/>
      <c r="O7" s="1" t="s">
        <v>36</v>
      </c>
    </row>
    <row r="8" spans="1:15" ht="17.25" customHeight="1">
      <c r="A8" s="22" t="s">
        <v>51</v>
      </c>
      <c r="B8" s="13"/>
      <c r="C8" s="13"/>
      <c r="D8" s="13"/>
      <c r="E8" s="13"/>
      <c r="F8" s="13"/>
      <c r="G8" s="13"/>
      <c r="H8" s="13"/>
      <c r="I8" s="22"/>
      <c r="J8" s="13"/>
      <c r="K8" s="13"/>
      <c r="L8" s="13"/>
      <c r="M8" s="13"/>
      <c r="N8" s="23"/>
      <c r="O8" s="1" t="s">
        <v>37</v>
      </c>
    </row>
    <row r="9" spans="1:15" ht="17.25" customHeight="1">
      <c r="A9" s="22" t="s">
        <v>48</v>
      </c>
      <c r="B9" s="13"/>
      <c r="C9" s="13"/>
      <c r="D9" s="13"/>
      <c r="E9" s="13"/>
      <c r="F9" s="13"/>
      <c r="G9" s="13"/>
      <c r="H9" s="13"/>
      <c r="I9" s="22"/>
      <c r="J9" s="13"/>
      <c r="K9" s="13"/>
      <c r="L9" s="13"/>
      <c r="M9" s="13"/>
      <c r="N9" s="23"/>
    </row>
    <row r="10" spans="1:15" ht="17.25" customHeight="1">
      <c r="A10" s="22" t="s">
        <v>54</v>
      </c>
      <c r="B10" s="13"/>
      <c r="C10" s="13"/>
      <c r="D10" s="13"/>
      <c r="E10" s="13"/>
      <c r="F10" s="13"/>
      <c r="G10" s="13"/>
      <c r="H10" s="13"/>
      <c r="I10" s="22"/>
      <c r="J10" s="13"/>
      <c r="K10" s="13"/>
      <c r="L10" s="13"/>
      <c r="M10" s="13"/>
      <c r="N10" s="23"/>
    </row>
    <row r="11" spans="1:15" ht="17.25" customHeight="1" thickBot="1">
      <c r="A11" s="24" t="s">
        <v>27</v>
      </c>
      <c r="B11" s="25"/>
      <c r="C11" s="25"/>
      <c r="D11" s="25"/>
      <c r="E11" s="25"/>
      <c r="F11" s="25"/>
      <c r="G11" s="25"/>
      <c r="H11" s="25"/>
      <c r="I11" s="24" t="s">
        <v>28</v>
      </c>
      <c r="J11" s="25"/>
      <c r="K11" s="25"/>
      <c r="L11" s="25"/>
      <c r="M11" s="25"/>
      <c r="N11" s="26"/>
    </row>
    <row r="12" spans="1:15" ht="9" customHeight="1">
      <c r="A12" s="17"/>
      <c r="B12" s="13"/>
      <c r="C12" s="13"/>
      <c r="D12" s="13"/>
      <c r="E12" s="13"/>
      <c r="F12" s="13"/>
      <c r="G12" s="13"/>
      <c r="H12" s="13"/>
      <c r="I12" s="17"/>
      <c r="J12" s="13"/>
      <c r="K12" s="13"/>
      <c r="L12" s="13"/>
      <c r="M12" s="13"/>
      <c r="N12" s="13"/>
    </row>
    <row r="13" spans="1:15">
      <c r="A13" s="1" t="s">
        <v>11</v>
      </c>
    </row>
    <row r="14" spans="1:15" ht="6" customHeight="1" thickBot="1"/>
    <row r="15" spans="1:15" ht="13.5" customHeight="1">
      <c r="A15" s="96" t="s">
        <v>12</v>
      </c>
      <c r="B15" s="97"/>
      <c r="C15" s="97"/>
      <c r="D15" s="100" t="s">
        <v>13</v>
      </c>
      <c r="E15" s="101"/>
      <c r="F15" s="102"/>
      <c r="G15" s="97" t="s">
        <v>14</v>
      </c>
      <c r="H15" s="97"/>
      <c r="I15" s="97" t="s">
        <v>15</v>
      </c>
      <c r="J15" s="97"/>
      <c r="K15" s="97" t="s">
        <v>16</v>
      </c>
      <c r="L15" s="97"/>
      <c r="M15" s="97" t="s">
        <v>17</v>
      </c>
      <c r="N15" s="106"/>
    </row>
    <row r="16" spans="1:15" ht="11.25" customHeight="1">
      <c r="A16" s="98"/>
      <c r="B16" s="99"/>
      <c r="C16" s="99"/>
      <c r="D16" s="103"/>
      <c r="E16" s="104"/>
      <c r="F16" s="105"/>
      <c r="G16" s="99"/>
      <c r="H16" s="99"/>
      <c r="I16" s="99"/>
      <c r="J16" s="99"/>
      <c r="K16" s="99"/>
      <c r="L16" s="99"/>
      <c r="M16" s="99"/>
      <c r="N16" s="107"/>
    </row>
    <row r="17" spans="1:17">
      <c r="A17" s="81"/>
      <c r="B17" s="82"/>
      <c r="C17" s="82"/>
      <c r="D17" s="83" t="s">
        <v>56</v>
      </c>
      <c r="E17" s="84"/>
      <c r="F17" s="85"/>
      <c r="G17" s="92">
        <v>50000</v>
      </c>
      <c r="H17" s="93"/>
      <c r="I17" s="88">
        <v>1</v>
      </c>
      <c r="J17" s="89"/>
      <c r="K17" s="90">
        <v>50000</v>
      </c>
      <c r="L17" s="91"/>
      <c r="M17" s="79"/>
      <c r="N17" s="80"/>
      <c r="O17" s="1" t="s">
        <v>29</v>
      </c>
    </row>
    <row r="18" spans="1:17">
      <c r="A18" s="81"/>
      <c r="B18" s="82"/>
      <c r="C18" s="82"/>
      <c r="D18" s="83"/>
      <c r="E18" s="84"/>
      <c r="F18" s="85"/>
      <c r="G18" s="86"/>
      <c r="H18" s="87"/>
      <c r="I18" s="88"/>
      <c r="J18" s="89"/>
      <c r="K18" s="90"/>
      <c r="L18" s="91"/>
      <c r="M18" s="79"/>
      <c r="N18" s="80"/>
    </row>
    <row r="19" spans="1:17">
      <c r="A19" s="81"/>
      <c r="B19" s="82"/>
      <c r="C19" s="82"/>
      <c r="D19" s="83"/>
      <c r="E19" s="84"/>
      <c r="F19" s="85"/>
      <c r="G19" s="86"/>
      <c r="H19" s="87"/>
      <c r="I19" s="88"/>
      <c r="J19" s="89"/>
      <c r="K19" s="90"/>
      <c r="L19" s="91"/>
      <c r="M19" s="79"/>
      <c r="N19" s="80"/>
    </row>
    <row r="20" spans="1:17">
      <c r="A20" s="81"/>
      <c r="B20" s="82"/>
      <c r="C20" s="82"/>
      <c r="D20" s="83"/>
      <c r="E20" s="84"/>
      <c r="F20" s="85"/>
      <c r="G20" s="86"/>
      <c r="H20" s="87"/>
      <c r="I20" s="88"/>
      <c r="J20" s="89"/>
      <c r="K20" s="90"/>
      <c r="L20" s="91"/>
      <c r="M20" s="79"/>
      <c r="N20" s="80"/>
    </row>
    <row r="21" spans="1:17" ht="17.25" thickBot="1">
      <c r="A21" s="66"/>
      <c r="B21" s="67"/>
      <c r="C21" s="67"/>
      <c r="D21" s="68"/>
      <c r="E21" s="69"/>
      <c r="F21" s="70"/>
      <c r="G21" s="71"/>
      <c r="H21" s="72"/>
      <c r="I21" s="73"/>
      <c r="J21" s="74"/>
      <c r="K21" s="75"/>
      <c r="L21" s="76"/>
      <c r="M21" s="77"/>
      <c r="N21" s="78"/>
    </row>
    <row r="22" spans="1:17" ht="18" thickTop="1" thickBot="1">
      <c r="A22" s="53"/>
      <c r="B22" s="54"/>
      <c r="C22" s="54"/>
      <c r="D22" s="55" t="s">
        <v>18</v>
      </c>
      <c r="E22" s="56"/>
      <c r="F22" s="57"/>
      <c r="G22" s="58"/>
      <c r="H22" s="59"/>
      <c r="I22" s="60"/>
      <c r="J22" s="61"/>
      <c r="K22" s="62">
        <f>SUM(K17:K21)</f>
        <v>50000</v>
      </c>
      <c r="L22" s="63"/>
      <c r="M22" s="64"/>
      <c r="N22" s="65"/>
    </row>
    <row r="23" spans="1:17" ht="9" customHeight="1">
      <c r="E23" s="2"/>
    </row>
    <row r="24" spans="1:17" ht="4.5" customHeight="1" thickBot="1">
      <c r="E24" s="2"/>
    </row>
    <row r="25" spans="1:17">
      <c r="A25" s="27"/>
      <c r="B25" s="28" t="s">
        <v>16</v>
      </c>
      <c r="C25" s="29"/>
      <c r="D25" s="29"/>
      <c r="E25" s="30"/>
      <c r="F25" s="29"/>
      <c r="G25" s="31"/>
      <c r="H25" s="27" t="s">
        <v>19</v>
      </c>
      <c r="I25" s="28"/>
      <c r="J25" s="29"/>
      <c r="K25" s="29"/>
      <c r="L25" s="29"/>
      <c r="M25" s="29"/>
      <c r="N25" s="31"/>
      <c r="Q25" s="7"/>
    </row>
    <row r="26" spans="1:17">
      <c r="A26" s="32"/>
      <c r="B26" s="1" t="s">
        <v>20</v>
      </c>
      <c r="E26" s="33">
        <f>K22</f>
        <v>50000</v>
      </c>
      <c r="F26" s="34"/>
      <c r="G26" s="35"/>
      <c r="H26" s="32" t="s">
        <v>40</v>
      </c>
      <c r="K26" s="9"/>
      <c r="N26" s="35"/>
      <c r="O26" s="12" t="s">
        <v>2</v>
      </c>
      <c r="P26" s="9"/>
      <c r="Q26" s="9"/>
    </row>
    <row r="27" spans="1:17" ht="17.25" thickBot="1">
      <c r="A27" s="41"/>
      <c r="B27" s="38"/>
      <c r="C27" s="38"/>
      <c r="D27" s="38"/>
      <c r="E27" s="39"/>
      <c r="F27" s="38"/>
      <c r="G27" s="40"/>
      <c r="H27" s="32" t="s">
        <v>44</v>
      </c>
      <c r="K27" s="9"/>
      <c r="N27" s="35"/>
      <c r="O27" s="12" t="s">
        <v>3</v>
      </c>
      <c r="P27" s="9"/>
      <c r="Q27" s="9"/>
    </row>
    <row r="28" spans="1:17" ht="17.25" thickBot="1">
      <c r="A28" s="27"/>
      <c r="B28" s="28" t="s">
        <v>30</v>
      </c>
      <c r="C28" s="29"/>
      <c r="D28" s="29"/>
      <c r="E28" s="30"/>
      <c r="F28" s="29"/>
      <c r="G28" s="31"/>
      <c r="H28" s="37"/>
      <c r="I28" s="38"/>
      <c r="J28" s="38"/>
      <c r="K28" s="38"/>
      <c r="L28" s="38"/>
      <c r="M28" s="38"/>
      <c r="N28" s="40"/>
      <c r="P28" s="9"/>
      <c r="Q28" s="9"/>
    </row>
    <row r="29" spans="1:17">
      <c r="A29" s="32"/>
      <c r="B29" s="1" t="s">
        <v>38</v>
      </c>
      <c r="E29" s="2"/>
      <c r="G29" s="35"/>
      <c r="H29" s="27" t="s">
        <v>4</v>
      </c>
      <c r="I29" s="28"/>
      <c r="J29" s="29"/>
      <c r="K29" s="29"/>
      <c r="L29" s="29"/>
      <c r="M29" s="29"/>
      <c r="N29" s="31"/>
      <c r="Q29" s="7"/>
    </row>
    <row r="30" spans="1:17" ht="17.25" thickBot="1">
      <c r="A30" s="41"/>
      <c r="B30" s="38"/>
      <c r="C30" s="38"/>
      <c r="D30" s="38"/>
      <c r="E30" s="39"/>
      <c r="F30" s="38"/>
      <c r="G30" s="40"/>
      <c r="H30" s="18" t="s">
        <v>43</v>
      </c>
      <c r="N30" s="35"/>
      <c r="O30" s="45" t="s">
        <v>45</v>
      </c>
      <c r="Q30" s="10"/>
    </row>
    <row r="31" spans="1:17">
      <c r="A31" s="27"/>
      <c r="B31" s="28" t="s">
        <v>31</v>
      </c>
      <c r="C31" s="29"/>
      <c r="D31" s="29"/>
      <c r="E31" s="30"/>
      <c r="F31" s="29"/>
      <c r="G31" s="31"/>
      <c r="H31" s="32" t="s">
        <v>41</v>
      </c>
      <c r="N31" s="35"/>
      <c r="O31" s="45" t="s">
        <v>46</v>
      </c>
      <c r="P31" s="9"/>
      <c r="Q31" s="9"/>
    </row>
    <row r="32" spans="1:17">
      <c r="A32" s="36"/>
      <c r="B32" s="1" t="s">
        <v>39</v>
      </c>
      <c r="E32" s="2"/>
      <c r="G32" s="35"/>
      <c r="H32" s="43" t="s">
        <v>42</v>
      </c>
      <c r="N32" s="35"/>
      <c r="O32" s="45" t="s">
        <v>47</v>
      </c>
      <c r="P32" s="9"/>
      <c r="Q32" s="9"/>
    </row>
    <row r="33" spans="1:17" ht="17.25" thickBot="1">
      <c r="A33" s="41"/>
      <c r="B33" s="38"/>
      <c r="C33" s="38"/>
      <c r="D33" s="38"/>
      <c r="E33" s="39"/>
      <c r="F33" s="38"/>
      <c r="G33" s="40"/>
      <c r="H33" s="44"/>
      <c r="I33" s="38"/>
      <c r="J33" s="38"/>
      <c r="K33" s="38"/>
      <c r="L33" s="38"/>
      <c r="M33" s="38"/>
      <c r="N33" s="40"/>
      <c r="O33" s="12"/>
      <c r="P33" s="9"/>
      <c r="Q33" s="9"/>
    </row>
    <row r="34" spans="1:17" ht="15" customHeight="1">
      <c r="A34" s="27"/>
      <c r="B34" s="28" t="s">
        <v>32</v>
      </c>
      <c r="C34" s="29"/>
      <c r="D34" s="29"/>
      <c r="E34" s="30"/>
      <c r="F34" s="29"/>
      <c r="G34" s="31"/>
      <c r="H34" s="27" t="s">
        <v>5</v>
      </c>
      <c r="I34" s="28"/>
      <c r="J34" s="29"/>
      <c r="K34" s="29"/>
      <c r="L34" s="29"/>
      <c r="M34" s="29"/>
      <c r="N34" s="31"/>
      <c r="O34" s="8"/>
      <c r="Q34" s="7"/>
    </row>
    <row r="35" spans="1:17" ht="15" customHeight="1">
      <c r="A35" s="32"/>
      <c r="B35" s="52">
        <f ca="1">K5</f>
        <v>46301</v>
      </c>
      <c r="C35" s="52"/>
      <c r="D35" s="52"/>
      <c r="E35" s="52"/>
      <c r="G35" s="35"/>
      <c r="H35" s="43" t="s">
        <v>53</v>
      </c>
      <c r="N35" s="35"/>
      <c r="O35" s="12" t="s">
        <v>1</v>
      </c>
      <c r="Q35" s="7"/>
    </row>
    <row r="36" spans="1:17" ht="17.25" thickBot="1">
      <c r="A36" s="37"/>
      <c r="B36" s="38"/>
      <c r="C36" s="38"/>
      <c r="D36" s="38"/>
      <c r="E36" s="42"/>
      <c r="F36" s="38"/>
      <c r="G36" s="40"/>
      <c r="H36" s="32" t="s">
        <v>52</v>
      </c>
      <c r="N36" s="35"/>
      <c r="O36" s="12" t="s">
        <v>6</v>
      </c>
      <c r="Q36" s="6"/>
    </row>
    <row r="37" spans="1:17">
      <c r="A37" s="27"/>
      <c r="B37" s="28" t="s">
        <v>33</v>
      </c>
      <c r="C37" s="29"/>
      <c r="D37" s="29"/>
      <c r="E37" s="30"/>
      <c r="F37" s="30"/>
      <c r="G37" s="31"/>
      <c r="H37" s="32" t="s">
        <v>7</v>
      </c>
      <c r="I37" s="46" t="s">
        <v>51</v>
      </c>
      <c r="N37" s="35"/>
      <c r="O37" s="5" t="s">
        <v>8</v>
      </c>
    </row>
    <row r="38" spans="1:17">
      <c r="A38" s="32"/>
      <c r="B38" s="1" t="s">
        <v>55</v>
      </c>
      <c r="E38" s="2"/>
      <c r="G38" s="35"/>
      <c r="H38" s="32"/>
      <c r="I38" s="46" t="s">
        <v>48</v>
      </c>
      <c r="N38" s="35"/>
      <c r="O38" s="5"/>
    </row>
    <row r="39" spans="1:17" ht="17.25" thickBot="1">
      <c r="A39" s="37" t="s">
        <v>9</v>
      </c>
      <c r="B39" s="38"/>
      <c r="C39" s="38"/>
      <c r="D39" s="38"/>
      <c r="E39" s="39"/>
      <c r="F39" s="38"/>
      <c r="G39" s="40"/>
      <c r="H39" s="37"/>
      <c r="I39" s="47" t="s">
        <v>49</v>
      </c>
      <c r="J39" s="38"/>
      <c r="K39" s="38"/>
      <c r="L39" s="38"/>
      <c r="M39" s="38"/>
      <c r="N39" s="40"/>
    </row>
    <row r="40" spans="1:17">
      <c r="E40" s="2"/>
      <c r="P40" t="s">
        <v>10</v>
      </c>
    </row>
    <row r="41" spans="1:17">
      <c r="E41" s="2"/>
    </row>
    <row r="42" spans="1:17">
      <c r="E42" s="2"/>
      <c r="H42" s="4" t="s">
        <v>0</v>
      </c>
    </row>
    <row r="44" spans="1:17">
      <c r="E44" s="3"/>
    </row>
    <row r="45" spans="1:17" ht="15" customHeight="1">
      <c r="H45" s="2"/>
    </row>
    <row r="49" spans="2:2" s="13" customFormat="1" ht="13.5">
      <c r="B49" s="14" t="s">
        <v>21</v>
      </c>
    </row>
    <row r="50" spans="2:2" s="13" customFormat="1" ht="13.5">
      <c r="B50" s="14" t="s">
        <v>35</v>
      </c>
    </row>
    <row r="51" spans="2:2" s="11" customFormat="1" ht="13.5">
      <c r="B51" s="14" t="s">
        <v>34</v>
      </c>
    </row>
    <row r="52" spans="2:2" s="11" customFormat="1" ht="13.5">
      <c r="B52" s="14" t="s">
        <v>22</v>
      </c>
    </row>
  </sheetData>
  <mergeCells count="45">
    <mergeCell ref="K4:N4"/>
    <mergeCell ref="K5:N5"/>
    <mergeCell ref="A15:C16"/>
    <mergeCell ref="D15:F16"/>
    <mergeCell ref="G15:H16"/>
    <mergeCell ref="I15:J16"/>
    <mergeCell ref="K15:L16"/>
    <mergeCell ref="M15:N16"/>
    <mergeCell ref="M18:N18"/>
    <mergeCell ref="A17:C17"/>
    <mergeCell ref="D17:F17"/>
    <mergeCell ref="G17:H17"/>
    <mergeCell ref="I17:J17"/>
    <mergeCell ref="K17:L17"/>
    <mergeCell ref="M17:N17"/>
    <mergeCell ref="A18:C18"/>
    <mergeCell ref="D18:F18"/>
    <mergeCell ref="G18:H18"/>
    <mergeCell ref="I18:J18"/>
    <mergeCell ref="K18:L18"/>
    <mergeCell ref="M20:N20"/>
    <mergeCell ref="A19:C19"/>
    <mergeCell ref="D19:F19"/>
    <mergeCell ref="G19:H19"/>
    <mergeCell ref="I19:J19"/>
    <mergeCell ref="K19:L19"/>
    <mergeCell ref="M19:N19"/>
    <mergeCell ref="A20:C20"/>
    <mergeCell ref="D20:F20"/>
    <mergeCell ref="G20:H20"/>
    <mergeCell ref="I20:J20"/>
    <mergeCell ref="K20:L20"/>
    <mergeCell ref="K22:L22"/>
    <mergeCell ref="M22:N22"/>
    <mergeCell ref="A21:C21"/>
    <mergeCell ref="D21:F21"/>
    <mergeCell ref="G21:H21"/>
    <mergeCell ref="I21:J21"/>
    <mergeCell ref="K21:L21"/>
    <mergeCell ref="M21:N21"/>
    <mergeCell ref="B35:E35"/>
    <mergeCell ref="A22:C22"/>
    <mergeCell ref="D22:F22"/>
    <mergeCell ref="G22:H22"/>
    <mergeCell ref="I22:J22"/>
  </mergeCells>
  <phoneticPr fontId="2" type="noConversion"/>
  <printOptions horizontalCentered="1"/>
  <pageMargins left="0.11811023622047245" right="0.15748031496062992" top="0.78740157480314965" bottom="0.39370078740157483" header="0.51181102362204722" footer="0.51181102362204722"/>
  <pageSetup paperSize="9" scale="85" orientation="portrait" horizontalDpi="300" verticalDpi="300" r:id="rId1"/>
  <headerFooter alignWithMargins="0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7CE0-117C-4F8F-9F25-84031BB64BDB}">
  <dimension ref="A1"/>
  <sheetViews>
    <sheetView showGridLines="0" workbookViewId="0">
      <selection activeCell="H7" sqref="H7"/>
    </sheetView>
  </sheetViews>
  <sheetFormatPr defaultRowHeight="13.5"/>
  <sheetData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린이 치노</vt:lpstr>
      <vt:lpstr>Sheet1</vt:lpstr>
      <vt:lpstr>'린이 치노'!Print_Area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2026-07-15T06:38:49Z</cp:lastPrinted>
  <dcterms:created xsi:type="dcterms:W3CDTF">2018-11-30T09:22:44Z</dcterms:created>
  <dcterms:modified xsi:type="dcterms:W3CDTF">2026-10-06T05:24:24Z</dcterms:modified>
</cp:coreProperties>
</file>